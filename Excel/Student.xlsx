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-Office Portfolio\Excel\"/>
    </mc:Choice>
  </mc:AlternateContent>
  <xr:revisionPtr revIDLastSave="0" documentId="8_{1A3E3661-18DD-4E0C-AB92-FFBFB3EE76BC}" xr6:coauthVersionLast="47" xr6:coauthVersionMax="47" xr10:uidLastSave="{00000000-0000-0000-0000-000000000000}"/>
  <bookViews>
    <workbookView xWindow="-120" yWindow="-120" windowWidth="29040" windowHeight="15840" xr2:uid="{25B3A340-34E3-4586-83F7-C43127770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L3" i="1"/>
  <c r="L4" i="1"/>
  <c r="L2" i="1"/>
  <c r="N3" i="1"/>
  <c r="N4" i="1"/>
  <c r="N2" i="1"/>
  <c r="M2" i="1"/>
  <c r="M3" i="1"/>
  <c r="M4" i="1"/>
  <c r="K3" i="1"/>
  <c r="K4" i="1"/>
  <c r="K2" i="1"/>
  <c r="J3" i="1"/>
  <c r="J4" i="1"/>
  <c r="J2" i="1"/>
  <c r="I3" i="1"/>
  <c r="I4" i="1"/>
  <c r="I2" i="1"/>
  <c r="H3" i="1"/>
  <c r="H4" i="1"/>
  <c r="H2" i="1"/>
  <c r="G3" i="1"/>
  <c r="G4" i="1"/>
  <c r="G2" i="1"/>
  <c r="F3" i="1"/>
  <c r="F4" i="1"/>
  <c r="F2" i="1"/>
  <c r="E2" i="1"/>
  <c r="E3" i="1"/>
  <c r="E4" i="1"/>
</calcChain>
</file>

<file path=xl/sharedStrings.xml><?xml version="1.0" encoding="utf-8"?>
<sst xmlns="http://schemas.openxmlformats.org/spreadsheetml/2006/main" count="18" uniqueCount="18">
  <si>
    <t>Name</t>
  </si>
  <si>
    <t>Physics</t>
  </si>
  <si>
    <t>Chemistry</t>
  </si>
  <si>
    <t>Maths</t>
  </si>
  <si>
    <t>Total</t>
  </si>
  <si>
    <t>Percentage</t>
  </si>
  <si>
    <t>Average</t>
  </si>
  <si>
    <t>Maximum</t>
  </si>
  <si>
    <t>Minimum</t>
  </si>
  <si>
    <t>Count if more than 50</t>
  </si>
  <si>
    <t>Count if less than 50</t>
  </si>
  <si>
    <t>Result</t>
  </si>
  <si>
    <t>Sum if greater than 50</t>
  </si>
  <si>
    <t>sum if less than 50</t>
  </si>
  <si>
    <t>Grade</t>
  </si>
  <si>
    <t>Riya</t>
  </si>
  <si>
    <t>Siya</t>
  </si>
  <si>
    <t>Damani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</si>
</sst>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48D4-5D69-4509-8979-F66D7D917031}">
  <dimension ref="A1:O4"/>
  <sheetViews>
    <sheetView tabSelected="1" workbookViewId="0">
      <selection activeCell="Q11" sqref="Q11"/>
    </sheetView>
  </sheetViews>
  <sheetFormatPr defaultRowHeight="15" x14ac:dyDescent="0.25"/>
  <cols>
    <col min="1" max="1" width="9.7109375" customWidth="1"/>
    <col min="2" max="2" width="11.140625" customWidth="1"/>
    <col min="3" max="3" width="10.7109375" customWidth="1"/>
    <col min="4" max="4" width="10.140625" customWidth="1"/>
    <col min="5" max="5" width="9.42578125" customWidth="1"/>
    <col min="6" max="6" width="11.28515625" customWidth="1"/>
    <col min="7" max="7" width="10" customWidth="1"/>
    <col min="8" max="8" width="11.140625" customWidth="1"/>
    <col min="9" max="9" width="10" customWidth="1"/>
    <col min="10" max="10" width="22" customWidth="1"/>
    <col min="11" max="11" width="21.42578125" customWidth="1"/>
    <col min="12" max="12" width="8.42578125" customWidth="1"/>
    <col min="13" max="13" width="20.5703125" customWidth="1"/>
    <col min="14" max="14" width="17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</row>
    <row r="2" spans="1:15" x14ac:dyDescent="0.25">
      <c r="A2" t="s">
        <v>15</v>
      </c>
      <c r="B2">
        <v>67</v>
      </c>
      <c r="C2">
        <v>89</v>
      </c>
      <c r="D2">
        <v>54</v>
      </c>
      <c r="E2">
        <f t="shared" ref="E2:E4" si="0">SUM(B2:D2)</f>
        <v>210</v>
      </c>
      <c r="F2">
        <f>E2/3</f>
        <v>70</v>
      </c>
      <c r="G2">
        <f>E2/3</f>
        <v>70</v>
      </c>
      <c r="H2">
        <f>MAX(B2:D2)</f>
        <v>89</v>
      </c>
      <c r="I2">
        <f>MIN(B2:D2)</f>
        <v>54</v>
      </c>
      <c r="J2">
        <f>COUNTIF(B2:D2,"&gt;=50")</f>
        <v>3</v>
      </c>
      <c r="K2">
        <f>COUNTIF(B2:D2,"&lt;=50")</f>
        <v>0</v>
      </c>
      <c r="L2" t="str">
        <f>IF(F2&gt;=33,"Pass","Fail")</f>
        <v>Pass</v>
      </c>
      <c r="M2">
        <f>SUMIF(B2:D2,"&gt;=50")</f>
        <v>210</v>
      </c>
      <c r="N2">
        <f>SUMIF(B2:D2,"&lt;=50")</f>
        <v>0</v>
      </c>
      <c r="O2" t="str">
        <f>IF(F2&gt;=90,"A",IF(F2&gt;=80,"B",IF(F2&gt;=70,"C",IF(F2&gt;=60,"D"))))</f>
        <v>C</v>
      </c>
    </row>
    <row r="3" spans="1:15" x14ac:dyDescent="0.25">
      <c r="A3" t="s">
        <v>16</v>
      </c>
      <c r="B3">
        <v>56</v>
      </c>
      <c r="C3">
        <v>88</v>
      </c>
      <c r="D3">
        <v>88</v>
      </c>
      <c r="E3">
        <f t="shared" si="0"/>
        <v>232</v>
      </c>
      <c r="F3">
        <f t="shared" ref="F3:F4" si="1">E3/3</f>
        <v>77.333333333333329</v>
      </c>
      <c r="G3">
        <f t="shared" ref="G3:G4" si="2">E3/3</f>
        <v>77.333333333333329</v>
      </c>
      <c r="H3">
        <f t="shared" ref="H3:H4" si="3">MAX(B3:D3)</f>
        <v>88</v>
      </c>
      <c r="I3">
        <f t="shared" ref="I3:I4" si="4">MIN(B3:D3)</f>
        <v>56</v>
      </c>
      <c r="J3">
        <f t="shared" ref="J3:J4" si="5">COUNTIF(B3:D3,"&gt;=50")</f>
        <v>3</v>
      </c>
      <c r="K3">
        <f t="shared" ref="K3:K4" si="6">COUNTIF(B3:D3,"&lt;=50")</f>
        <v>0</v>
      </c>
      <c r="L3" t="str">
        <f t="shared" ref="L3:L4" si="7">IF(F3&gt;=33,"Pass","Fail")</f>
        <v>Pass</v>
      </c>
      <c r="M3">
        <f t="shared" ref="M3:M4" si="8">SUMIF(B3:D3,"&gt;=50")</f>
        <v>232</v>
      </c>
      <c r="N3">
        <f t="shared" ref="N3:N4" si="9">SUMIF(B3:D3,"&lt;=50")</f>
        <v>0</v>
      </c>
      <c r="O3" t="str">
        <f>IF(F3&gt;=90,"A",IF(F3&gt;=80,"B",IF(F3&gt;=70,"C",IF(F3&gt;=60,"D"))))</f>
        <v>C</v>
      </c>
    </row>
    <row r="4" spans="1:15" x14ac:dyDescent="0.25">
      <c r="A4" t="s">
        <v>17</v>
      </c>
      <c r="B4">
        <v>78</v>
      </c>
      <c r="C4">
        <v>69</v>
      </c>
      <c r="D4">
        <v>67</v>
      </c>
      <c r="E4">
        <f t="shared" si="0"/>
        <v>214</v>
      </c>
      <c r="F4">
        <f t="shared" si="1"/>
        <v>71.333333333333329</v>
      </c>
      <c r="G4">
        <f t="shared" si="2"/>
        <v>71.333333333333329</v>
      </c>
      <c r="H4">
        <f t="shared" si="3"/>
        <v>78</v>
      </c>
      <c r="I4">
        <f t="shared" si="4"/>
        <v>67</v>
      </c>
      <c r="J4">
        <f t="shared" si="5"/>
        <v>3</v>
      </c>
      <c r="K4">
        <f t="shared" si="6"/>
        <v>0</v>
      </c>
      <c r="L4" t="str">
        <f t="shared" si="7"/>
        <v>Pass</v>
      </c>
      <c r="M4">
        <f t="shared" si="8"/>
        <v>214</v>
      </c>
      <c r="N4">
        <f t="shared" si="9"/>
        <v>0</v>
      </c>
      <c r="O4" t="str">
        <f>IF(F4&gt;=90,"A",IF(F4&gt;=80,"B",IF(F4&gt;=70,"C",IF(F4&gt;=60,"D"))))</f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riyag6031@gmail.com</cp:lastModifiedBy>
  <dcterms:created xsi:type="dcterms:W3CDTF">2026-02-05T15:40:03Z</dcterms:created>
  <dcterms:modified xsi:type="dcterms:W3CDTF">2026-02-05T16:08:43Z</dcterms:modified>
</cp:coreProperties>
</file>
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J8" i="2"/>
  <c r="AJ9"/>
  <c r="AJ10"/>
  <c r="AJ7"/>
  <c r="AH10"/>
  <c r="AK10" s="1"/>
  <c r="AH8"/>
  <c r="AK8" s="1"/>
  <c r="AH9"/>
  <c r="AK9" s="1"/>
  <c r="AH7"/>
  <c r="AK7" s="1"/>
  <c r="AG8"/>
  <c r="AG9"/>
  <c r="AG10"/>
  <c r="AG7"/>
  <c r="AK8" i="1"/>
  <c r="AK9"/>
  <c r="AK10"/>
  <c r="AK11"/>
  <c r="AK7"/>
  <c r="AJ8"/>
  <c r="AJ9"/>
  <c r="AJ10"/>
  <c r="AJ11"/>
  <c r="AJ7"/>
  <c r="AH8"/>
  <c r="AH9"/>
  <c r="AH10"/>
  <c r="AH11"/>
  <c r="AH7"/>
  <c r="AG8"/>
  <c r="AG9"/>
  <c r="AG10"/>
  <c r="AG11"/>
  <c r="AG7"/>
</calcChain>
</file>

<file path=xl/sharedStrings.xml><?xml version="1.0" encoding="utf-8"?>
<sst xmlns="http://schemas.openxmlformats.org/spreadsheetml/2006/main" count="291" uniqueCount="28">
  <si>
    <t>ATTENDENCE SHEET MONTH OF MAY 2025</t>
  </si>
  <si>
    <t>NAME</t>
  </si>
  <si>
    <t>ROHIT</t>
  </si>
  <si>
    <t>AMIT</t>
  </si>
  <si>
    <t>RAHUL</t>
  </si>
  <si>
    <t>KAMAL</t>
  </si>
  <si>
    <t>DEEPAK</t>
  </si>
  <si>
    <t>P</t>
  </si>
  <si>
    <t>TOTAL WORKING DAYS</t>
  </si>
  <si>
    <t>ABSENT DAYS</t>
  </si>
  <si>
    <t>PRESENT DAYS</t>
  </si>
  <si>
    <t>BASIC SALARY</t>
  </si>
  <si>
    <t>PER DAY</t>
  </si>
  <si>
    <t>NET SALARY</t>
  </si>
  <si>
    <t>A</t>
  </si>
  <si>
    <t>Attendence Sheet of Month July</t>
  </si>
  <si>
    <t>Name</t>
  </si>
  <si>
    <t>Riya</t>
  </si>
  <si>
    <t>Priya</t>
  </si>
  <si>
    <t>Deepti</t>
  </si>
  <si>
    <t>Poonam</t>
  </si>
  <si>
    <t>p</t>
  </si>
  <si>
    <t>Total Working Days</t>
  </si>
  <si>
    <t>Absent Days</t>
  </si>
  <si>
    <t>Present Days</t>
  </si>
  <si>
    <t>Basic salary</t>
  </si>
  <si>
    <t>Per Day</t>
  </si>
  <si>
    <t>Net Salary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</si>
</sst>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5" tint="-0.499984740745262"/>
      <name val="Adobe Garamond Pro Bold"/>
      <family val="1"/>
    </font>
    <font>
      <b/>
      <sz val="11"/>
      <color theme="5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/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Font="1"/>
    <xf numFmtId="0" fontId="2" fillId="3" borderId="0" xfId="0" applyFont="1" applyFill="1"/>
    <xf numFmtId="0" fontId="4" fillId="0" borderId="0" xfId="0" applyFont="1"/>
    <xf numFmtId="0" fontId="4" fillId="3" borderId="0" xfId="0" applyFont="1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K11"/>
  <sheetViews>
    <sheetView zoomScale="90" zoomScaleNormal="90" workbookViewId="0">
      <selection activeCell="AI7" sqref="AI7"/>
    </sheetView>
  </sheetViews>
  <sheetFormatPr defaultRowHeight="15"/>
  <cols>
    <col min="2" max="31" width="3.7109375" customWidth="1"/>
  </cols>
  <sheetData>
    <row r="2" spans="1:37" ht="15" customHeight="1"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37" ht="15" customHeight="1"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37" ht="15" customHeight="1"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6" spans="1:37" ht="45">
      <c r="A6" t="s">
        <v>1</v>
      </c>
      <c r="B6">
        <v>1</v>
      </c>
      <c r="C6">
        <v>2</v>
      </c>
      <c r="D6">
        <v>3</v>
      </c>
      <c r="E6">
        <v>4</v>
      </c>
      <c r="F6" s="3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 s="3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 s="3">
        <v>19</v>
      </c>
      <c r="U6">
        <v>20</v>
      </c>
      <c r="V6">
        <v>21</v>
      </c>
      <c r="W6">
        <v>22</v>
      </c>
      <c r="X6">
        <v>23</v>
      </c>
      <c r="Y6">
        <v>24</v>
      </c>
      <c r="Z6">
        <v>25</v>
      </c>
      <c r="AA6" s="3">
        <v>26</v>
      </c>
      <c r="AB6">
        <v>27</v>
      </c>
      <c r="AC6">
        <v>28</v>
      </c>
      <c r="AD6">
        <v>29</v>
      </c>
      <c r="AE6">
        <v>30</v>
      </c>
      <c r="AF6" s="1" t="s">
        <v>8</v>
      </c>
      <c r="AG6" s="1" t="s">
        <v>9</v>
      </c>
      <c r="AH6" s="1" t="s">
        <v>10</v>
      </c>
      <c r="AI6" s="1" t="s">
        <v>11</v>
      </c>
      <c r="AJ6" s="1" t="s">
        <v>12</v>
      </c>
      <c r="AK6" s="1" t="s">
        <v>13</v>
      </c>
    </row>
    <row r="7" spans="1:37">
      <c r="A7" t="s">
        <v>2</v>
      </c>
      <c r="B7" t="s">
        <v>14</v>
      </c>
      <c r="C7" t="s">
        <v>7</v>
      </c>
      <c r="D7" t="s">
        <v>7</v>
      </c>
      <c r="E7" t="s">
        <v>7</v>
      </c>
      <c r="F7" s="3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 t="s">
        <v>7</v>
      </c>
      <c r="M7" s="3" t="s">
        <v>7</v>
      </c>
      <c r="N7" t="s">
        <v>7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s="3" t="s">
        <v>7</v>
      </c>
      <c r="U7" t="s">
        <v>7</v>
      </c>
      <c r="V7" t="s">
        <v>7</v>
      </c>
      <c r="W7" t="s">
        <v>14</v>
      </c>
      <c r="X7" t="s">
        <v>7</v>
      </c>
      <c r="Y7" t="s">
        <v>7</v>
      </c>
      <c r="Z7" t="s">
        <v>7</v>
      </c>
      <c r="AA7" s="3" t="s">
        <v>7</v>
      </c>
      <c r="AB7" t="s">
        <v>7</v>
      </c>
      <c r="AC7" t="s">
        <v>14</v>
      </c>
      <c r="AD7" t="s">
        <v>7</v>
      </c>
      <c r="AE7" t="s">
        <v>7</v>
      </c>
      <c r="AF7">
        <v>30</v>
      </c>
      <c r="AG7">
        <f>COUNTIF(B7:AE7,"A")</f>
        <v>3</v>
      </c>
      <c r="AH7">
        <f>COUNTIF(B7:AE7,"P")</f>
        <v>27</v>
      </c>
      <c r="AI7">
        <v>25000</v>
      </c>
      <c r="AJ7" s="2">
        <f>AI7/AF7</f>
        <v>833.33333333333337</v>
      </c>
      <c r="AK7" s="2">
        <f>AJ7*AH7</f>
        <v>22500</v>
      </c>
    </row>
    <row r="8" spans="1:37">
      <c r="A8" t="s">
        <v>3</v>
      </c>
      <c r="B8" t="s">
        <v>14</v>
      </c>
      <c r="C8" t="s">
        <v>7</v>
      </c>
      <c r="D8" t="s">
        <v>7</v>
      </c>
      <c r="E8" t="s">
        <v>7</v>
      </c>
      <c r="F8" s="3" t="s">
        <v>7</v>
      </c>
      <c r="G8" t="s">
        <v>7</v>
      </c>
      <c r="H8" t="s">
        <v>7</v>
      </c>
      <c r="I8" t="s">
        <v>7</v>
      </c>
      <c r="J8" t="s">
        <v>14</v>
      </c>
      <c r="K8" t="s">
        <v>7</v>
      </c>
      <c r="L8" t="s">
        <v>7</v>
      </c>
      <c r="M8" s="3" t="s">
        <v>7</v>
      </c>
      <c r="N8" t="s">
        <v>7</v>
      </c>
      <c r="O8" t="s">
        <v>7</v>
      </c>
      <c r="P8" t="s">
        <v>7</v>
      </c>
      <c r="Q8" t="s">
        <v>7</v>
      </c>
      <c r="R8" t="s">
        <v>14</v>
      </c>
      <c r="S8" t="s">
        <v>7</v>
      </c>
      <c r="T8" s="3" t="s">
        <v>7</v>
      </c>
      <c r="U8" t="s">
        <v>7</v>
      </c>
      <c r="V8" t="s">
        <v>7</v>
      </c>
      <c r="W8" t="s">
        <v>7</v>
      </c>
      <c r="X8" t="s">
        <v>7</v>
      </c>
      <c r="Y8" t="s">
        <v>7</v>
      </c>
      <c r="Z8" t="s">
        <v>7</v>
      </c>
      <c r="AA8" s="3" t="s">
        <v>7</v>
      </c>
      <c r="AB8" t="s">
        <v>7</v>
      </c>
      <c r="AC8" t="s">
        <v>7</v>
      </c>
      <c r="AD8" t="s">
        <v>7</v>
      </c>
      <c r="AE8" t="s">
        <v>7</v>
      </c>
      <c r="AF8">
        <v>30</v>
      </c>
      <c r="AG8">
        <f t="shared" ref="AG8:AG11" si="0">COUNTIF(B8:AE8,"A")</f>
        <v>3</v>
      </c>
      <c r="AH8">
        <f t="shared" ref="AH8:AH11" si="1">COUNTIF(B8:AE8,"P")</f>
        <v>27</v>
      </c>
      <c r="AI8">
        <v>32000</v>
      </c>
      <c r="AJ8" s="2">
        <f t="shared" ref="AJ8:AJ11" si="2">AI8/AF8</f>
        <v>1066.6666666666667</v>
      </c>
      <c r="AK8" s="2">
        <f t="shared" ref="AK8:AK11" si="3">AJ8*AH8</f>
        <v>28800.000000000004</v>
      </c>
    </row>
    <row r="9" spans="1:37">
      <c r="A9" t="s">
        <v>4</v>
      </c>
      <c r="B9" t="s">
        <v>7</v>
      </c>
      <c r="C9" t="s">
        <v>7</v>
      </c>
      <c r="D9" t="s">
        <v>7</v>
      </c>
      <c r="E9" t="s">
        <v>7</v>
      </c>
      <c r="F9" s="3" t="s">
        <v>7</v>
      </c>
      <c r="G9" t="s">
        <v>7</v>
      </c>
      <c r="H9" t="s">
        <v>14</v>
      </c>
      <c r="I9" t="s">
        <v>7</v>
      </c>
      <c r="J9" t="s">
        <v>7</v>
      </c>
      <c r="K9" t="s">
        <v>7</v>
      </c>
      <c r="L9" t="s">
        <v>7</v>
      </c>
      <c r="M9" s="3" t="s">
        <v>7</v>
      </c>
      <c r="N9" t="s">
        <v>7</v>
      </c>
      <c r="O9" t="s">
        <v>14</v>
      </c>
      <c r="P9" t="s">
        <v>7</v>
      </c>
      <c r="Q9" t="s">
        <v>7</v>
      </c>
      <c r="R9" t="s">
        <v>14</v>
      </c>
      <c r="S9" t="s">
        <v>7</v>
      </c>
      <c r="T9" s="3" t="s">
        <v>7</v>
      </c>
      <c r="U9" t="s">
        <v>7</v>
      </c>
      <c r="V9" t="s">
        <v>7</v>
      </c>
      <c r="W9" t="s">
        <v>14</v>
      </c>
      <c r="X9" t="s">
        <v>7</v>
      </c>
      <c r="Y9" t="s">
        <v>14</v>
      </c>
      <c r="Z9" t="s">
        <v>7</v>
      </c>
      <c r="AA9" s="3" t="s">
        <v>7</v>
      </c>
      <c r="AB9" t="s">
        <v>14</v>
      </c>
      <c r="AC9" t="s">
        <v>7</v>
      </c>
      <c r="AD9" t="s">
        <v>7</v>
      </c>
      <c r="AE9" t="s">
        <v>7</v>
      </c>
      <c r="AF9">
        <v>30</v>
      </c>
      <c r="AG9">
        <f t="shared" si="0"/>
        <v>6</v>
      </c>
      <c r="AH9">
        <f t="shared" si="1"/>
        <v>24</v>
      </c>
      <c r="AI9">
        <v>39000</v>
      </c>
      <c r="AJ9" s="2">
        <f t="shared" si="2"/>
        <v>1300</v>
      </c>
      <c r="AK9" s="2">
        <f t="shared" si="3"/>
        <v>31200</v>
      </c>
    </row>
    <row r="10" spans="1:37">
      <c r="A10" t="s">
        <v>5</v>
      </c>
      <c r="B10" t="s">
        <v>7</v>
      </c>
      <c r="C10" t="s">
        <v>7</v>
      </c>
      <c r="D10" t="s">
        <v>7</v>
      </c>
      <c r="E10" t="s">
        <v>14</v>
      </c>
      <c r="F10" s="3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14</v>
      </c>
      <c r="M10" s="3" t="s">
        <v>7</v>
      </c>
      <c r="N10" t="s">
        <v>14</v>
      </c>
      <c r="O10" t="s">
        <v>7</v>
      </c>
      <c r="P10" t="s">
        <v>7</v>
      </c>
      <c r="Q10" t="s">
        <v>7</v>
      </c>
      <c r="R10" t="s">
        <v>7</v>
      </c>
      <c r="S10" t="s">
        <v>14</v>
      </c>
      <c r="T10" s="3" t="s">
        <v>7</v>
      </c>
      <c r="U10" t="s">
        <v>7</v>
      </c>
      <c r="V10" t="s">
        <v>7</v>
      </c>
      <c r="W10" t="s">
        <v>7</v>
      </c>
      <c r="X10" t="s">
        <v>7</v>
      </c>
      <c r="Y10" t="s">
        <v>7</v>
      </c>
      <c r="Z10" t="s">
        <v>7</v>
      </c>
      <c r="AA10" s="3" t="s">
        <v>7</v>
      </c>
      <c r="AB10" t="s">
        <v>7</v>
      </c>
      <c r="AC10" t="s">
        <v>7</v>
      </c>
      <c r="AD10" t="s">
        <v>7</v>
      </c>
      <c r="AE10" t="s">
        <v>7</v>
      </c>
      <c r="AF10">
        <v>30</v>
      </c>
      <c r="AG10">
        <f t="shared" si="0"/>
        <v>4</v>
      </c>
      <c r="AH10">
        <f t="shared" si="1"/>
        <v>26</v>
      </c>
      <c r="AI10">
        <v>46000</v>
      </c>
      <c r="AJ10" s="2">
        <f t="shared" si="2"/>
        <v>1533.3333333333333</v>
      </c>
      <c r="AK10" s="2">
        <f t="shared" si="3"/>
        <v>39866.666666666664</v>
      </c>
    </row>
    <row r="11" spans="1:37">
      <c r="A11" t="s">
        <v>6</v>
      </c>
      <c r="B11" t="s">
        <v>7</v>
      </c>
      <c r="C11" t="s">
        <v>7</v>
      </c>
      <c r="D11" t="s">
        <v>14</v>
      </c>
      <c r="E11" t="s">
        <v>7</v>
      </c>
      <c r="F11" s="3" t="s">
        <v>7</v>
      </c>
      <c r="G11" t="s">
        <v>7</v>
      </c>
      <c r="H11" t="s">
        <v>14</v>
      </c>
      <c r="I11" t="s">
        <v>7</v>
      </c>
      <c r="J11" t="s">
        <v>7</v>
      </c>
      <c r="K11" t="s">
        <v>7</v>
      </c>
      <c r="L11" t="s">
        <v>7</v>
      </c>
      <c r="M11" s="3" t="s">
        <v>7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s="3" t="s">
        <v>7</v>
      </c>
      <c r="U11" t="s">
        <v>7</v>
      </c>
      <c r="V11" t="s">
        <v>14</v>
      </c>
      <c r="W11" t="s">
        <v>7</v>
      </c>
      <c r="X11" t="s">
        <v>7</v>
      </c>
      <c r="Y11" t="s">
        <v>7</v>
      </c>
      <c r="Z11" t="s">
        <v>7</v>
      </c>
      <c r="AA11" s="3" t="s">
        <v>7</v>
      </c>
      <c r="AB11" t="s">
        <v>7</v>
      </c>
      <c r="AC11" t="s">
        <v>7</v>
      </c>
      <c r="AD11" t="s">
        <v>7</v>
      </c>
      <c r="AE11" t="s">
        <v>7</v>
      </c>
      <c r="AF11">
        <v>30</v>
      </c>
      <c r="AG11">
        <f t="shared" si="0"/>
        <v>3</v>
      </c>
      <c r="AH11">
        <f t="shared" si="1"/>
        <v>27</v>
      </c>
      <c r="AI11">
        <v>53000</v>
      </c>
      <c r="AJ11" s="2">
        <f t="shared" si="2"/>
        <v>1766.6666666666667</v>
      </c>
      <c r="AK11" s="2">
        <f t="shared" si="3"/>
        <v>47700</v>
      </c>
    </row>
  </sheetData>
  <mergeCells count="1">
    <mergeCell ref="C2:Z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3"/>
  <sheetViews>
    <sheetView tabSelected="1" workbookViewId="0">
      <selection activeCell="Y16" sqref="Y16"/>
    </sheetView>
  </sheetViews>
  <sheetFormatPr defaultRowHeight="15"/>
  <cols>
    <col min="2" max="31" width="3.7109375" customWidth="1"/>
    <col min="32" max="32" width="9.140625" customWidth="1"/>
    <col min="33" max="33" width="7.28515625" customWidth="1"/>
    <col min="34" max="34" width="7.85546875" customWidth="1"/>
    <col min="35" max="35" width="10.5703125" customWidth="1"/>
    <col min="36" max="36" width="8.140625" customWidth="1"/>
    <col min="37" max="38" width="6.7109375" customWidth="1"/>
    <col min="39" max="39" width="3.7109375" customWidth="1"/>
  </cols>
  <sheetData>
    <row r="1" spans="1:38" ht="45" customHeight="1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8" ht="25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8" ht="15" hidden="1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8" ht="1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8" ht="43.5" hidden="1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8" ht="56.25" customHeight="1">
      <c r="A6" s="6" t="s">
        <v>16</v>
      </c>
      <c r="B6" s="9">
        <v>1</v>
      </c>
      <c r="C6" s="9">
        <v>2</v>
      </c>
      <c r="D6" s="9">
        <v>3</v>
      </c>
      <c r="E6" s="9">
        <v>4</v>
      </c>
      <c r="F6" s="9">
        <v>5</v>
      </c>
      <c r="G6" s="9">
        <v>6</v>
      </c>
      <c r="H6" s="10">
        <v>7</v>
      </c>
      <c r="I6" s="9">
        <v>8</v>
      </c>
      <c r="J6" s="9">
        <v>9</v>
      </c>
      <c r="K6" s="9">
        <v>10</v>
      </c>
      <c r="L6" s="9">
        <v>11</v>
      </c>
      <c r="M6" s="9">
        <v>12</v>
      </c>
      <c r="N6" s="9">
        <v>13</v>
      </c>
      <c r="O6" s="10">
        <v>14</v>
      </c>
      <c r="P6" s="9">
        <v>15</v>
      </c>
      <c r="Q6" s="9">
        <v>16</v>
      </c>
      <c r="R6" s="9">
        <v>17</v>
      </c>
      <c r="S6" s="9">
        <v>18</v>
      </c>
      <c r="T6" s="9">
        <v>19</v>
      </c>
      <c r="U6" s="9">
        <v>20</v>
      </c>
      <c r="V6" s="10">
        <v>21</v>
      </c>
      <c r="W6" s="9">
        <v>22</v>
      </c>
      <c r="X6" s="9">
        <v>23</v>
      </c>
      <c r="Y6" s="9">
        <v>24</v>
      </c>
      <c r="Z6" s="9">
        <v>25</v>
      </c>
      <c r="AA6" s="9">
        <v>26</v>
      </c>
      <c r="AB6" s="9">
        <v>27</v>
      </c>
      <c r="AC6" s="10">
        <v>28</v>
      </c>
      <c r="AD6" s="9">
        <v>29</v>
      </c>
      <c r="AE6" s="9">
        <v>30</v>
      </c>
      <c r="AF6" s="11" t="s">
        <v>22</v>
      </c>
      <c r="AG6" s="11" t="s">
        <v>23</v>
      </c>
      <c r="AH6" s="12" t="s">
        <v>24</v>
      </c>
      <c r="AI6" s="9" t="s">
        <v>25</v>
      </c>
      <c r="AJ6" s="13" t="s">
        <v>26</v>
      </c>
      <c r="AK6" s="12" t="s">
        <v>27</v>
      </c>
    </row>
    <row r="7" spans="1:38">
      <c r="A7" s="6" t="s">
        <v>17</v>
      </c>
      <c r="B7" s="6" t="s">
        <v>21</v>
      </c>
      <c r="C7" s="6" t="s">
        <v>21</v>
      </c>
      <c r="D7" s="6" t="s">
        <v>14</v>
      </c>
      <c r="E7" s="6" t="s">
        <v>21</v>
      </c>
      <c r="F7" s="6" t="s">
        <v>21</v>
      </c>
      <c r="G7" s="6" t="s">
        <v>21</v>
      </c>
      <c r="H7" s="8" t="s">
        <v>21</v>
      </c>
      <c r="I7" s="6" t="s">
        <v>21</v>
      </c>
      <c r="J7" s="6" t="s">
        <v>21</v>
      </c>
      <c r="K7" s="6" t="s">
        <v>21</v>
      </c>
      <c r="L7" s="6" t="s">
        <v>21</v>
      </c>
      <c r="M7" s="6" t="s">
        <v>21</v>
      </c>
      <c r="N7" s="6" t="s">
        <v>21</v>
      </c>
      <c r="O7" s="8">
        <v>14</v>
      </c>
      <c r="P7" s="6" t="s">
        <v>21</v>
      </c>
      <c r="Q7" s="6" t="s">
        <v>14</v>
      </c>
      <c r="R7" s="6" t="s">
        <v>21</v>
      </c>
      <c r="S7" s="6" t="s">
        <v>21</v>
      </c>
      <c r="T7" s="6" t="s">
        <v>21</v>
      </c>
      <c r="U7" s="6" t="s">
        <v>21</v>
      </c>
      <c r="V7" s="8" t="s">
        <v>21</v>
      </c>
      <c r="W7" s="6" t="s">
        <v>21</v>
      </c>
      <c r="X7" s="6" t="s">
        <v>21</v>
      </c>
      <c r="Y7" s="6" t="s">
        <v>14</v>
      </c>
      <c r="Z7" s="6" t="s">
        <v>21</v>
      </c>
      <c r="AA7" s="6" t="s">
        <v>21</v>
      </c>
      <c r="AB7" s="6" t="s">
        <v>21</v>
      </c>
      <c r="AC7" s="8" t="s">
        <v>21</v>
      </c>
      <c r="AD7" s="6" t="s">
        <v>21</v>
      </c>
      <c r="AE7" s="6" t="s">
        <v>21</v>
      </c>
      <c r="AF7" s="6">
        <v>30</v>
      </c>
      <c r="AG7" s="6">
        <f>COUNTIF(B7:AE7,"A")</f>
        <v>3</v>
      </c>
      <c r="AH7" s="6">
        <f>COUNTIF(B7:AE7,"p")</f>
        <v>26</v>
      </c>
      <c r="AI7" s="6">
        <v>25000</v>
      </c>
      <c r="AJ7" s="6">
        <f>AI7/AF7</f>
        <v>833.33333333333337</v>
      </c>
      <c r="AK7" s="6">
        <f>AJ7*AH7</f>
        <v>21666.666666666668</v>
      </c>
      <c r="AL7" s="6"/>
    </row>
    <row r="8" spans="1:38">
      <c r="A8" s="6" t="s">
        <v>18</v>
      </c>
      <c r="B8" s="6" t="s">
        <v>21</v>
      </c>
      <c r="C8" s="6" t="s">
        <v>21</v>
      </c>
      <c r="D8" s="6" t="s">
        <v>14</v>
      </c>
      <c r="E8" s="6" t="s">
        <v>21</v>
      </c>
      <c r="F8" s="6" t="s">
        <v>21</v>
      </c>
      <c r="G8" s="6" t="s">
        <v>21</v>
      </c>
      <c r="H8" s="8" t="s">
        <v>21</v>
      </c>
      <c r="I8" s="6" t="s">
        <v>21</v>
      </c>
      <c r="J8" s="6" t="s">
        <v>21</v>
      </c>
      <c r="K8" s="6" t="s">
        <v>21</v>
      </c>
      <c r="L8" s="6" t="s">
        <v>14</v>
      </c>
      <c r="M8" s="6" t="s">
        <v>14</v>
      </c>
      <c r="N8" s="6" t="s">
        <v>21</v>
      </c>
      <c r="O8" s="8">
        <v>14</v>
      </c>
      <c r="P8" s="6" t="s">
        <v>21</v>
      </c>
      <c r="Q8" s="6" t="s">
        <v>21</v>
      </c>
      <c r="R8" s="6" t="s">
        <v>21</v>
      </c>
      <c r="S8" s="6" t="s">
        <v>14</v>
      </c>
      <c r="T8" s="6" t="s">
        <v>21</v>
      </c>
      <c r="U8" s="6" t="s">
        <v>21</v>
      </c>
      <c r="V8" s="8" t="s">
        <v>21</v>
      </c>
      <c r="W8" s="6" t="s">
        <v>21</v>
      </c>
      <c r="X8" s="6" t="s">
        <v>21</v>
      </c>
      <c r="Y8" s="6" t="s">
        <v>21</v>
      </c>
      <c r="Z8" s="6" t="s">
        <v>21</v>
      </c>
      <c r="AA8" s="6" t="s">
        <v>14</v>
      </c>
      <c r="AB8" s="6" t="s">
        <v>21</v>
      </c>
      <c r="AC8" s="8" t="s">
        <v>21</v>
      </c>
      <c r="AD8" s="6" t="s">
        <v>21</v>
      </c>
      <c r="AE8" s="6" t="s">
        <v>21</v>
      </c>
      <c r="AF8" s="6">
        <v>30</v>
      </c>
      <c r="AG8" s="6">
        <f t="shared" ref="AG8:AG10" si="0">COUNTIF(B8:AE8,"A")</f>
        <v>5</v>
      </c>
      <c r="AH8" s="6">
        <f t="shared" ref="AH8:AH10" si="1">COUNTIF(B8:AE8,"p")</f>
        <v>24</v>
      </c>
      <c r="AI8" s="6">
        <v>30000</v>
      </c>
      <c r="AJ8" s="6">
        <f t="shared" ref="AJ8:AJ10" si="2">AI8/AF8</f>
        <v>1000</v>
      </c>
      <c r="AK8" s="6">
        <f t="shared" ref="AK8:AK10" si="3">AJ8*AH8</f>
        <v>24000</v>
      </c>
      <c r="AL8" s="6"/>
    </row>
    <row r="9" spans="1:38">
      <c r="A9" s="6" t="s">
        <v>20</v>
      </c>
      <c r="B9" s="6" t="s">
        <v>21</v>
      </c>
      <c r="C9" s="6" t="s">
        <v>21</v>
      </c>
      <c r="D9" s="6" t="s">
        <v>14</v>
      </c>
      <c r="E9" s="6" t="s">
        <v>21</v>
      </c>
      <c r="F9" s="6" t="s">
        <v>21</v>
      </c>
      <c r="G9" s="6" t="s">
        <v>21</v>
      </c>
      <c r="H9" s="8" t="s">
        <v>21</v>
      </c>
      <c r="I9" s="6" t="s">
        <v>14</v>
      </c>
      <c r="J9" s="6" t="s">
        <v>21</v>
      </c>
      <c r="K9" s="6" t="s">
        <v>14</v>
      </c>
      <c r="L9" s="6" t="s">
        <v>21</v>
      </c>
      <c r="M9" s="6" t="s">
        <v>21</v>
      </c>
      <c r="N9" s="6" t="s">
        <v>21</v>
      </c>
      <c r="O9" s="8">
        <v>14</v>
      </c>
      <c r="P9" s="6" t="s">
        <v>21</v>
      </c>
      <c r="Q9" s="6" t="s">
        <v>21</v>
      </c>
      <c r="R9" s="6" t="s">
        <v>21</v>
      </c>
      <c r="S9" s="6" t="s">
        <v>21</v>
      </c>
      <c r="T9" s="6" t="s">
        <v>21</v>
      </c>
      <c r="U9" s="6" t="s">
        <v>21</v>
      </c>
      <c r="V9" s="8" t="s">
        <v>21</v>
      </c>
      <c r="W9" s="6" t="s">
        <v>14</v>
      </c>
      <c r="X9" s="6" t="s">
        <v>21</v>
      </c>
      <c r="Y9" s="6" t="s">
        <v>21</v>
      </c>
      <c r="Z9" s="6" t="s">
        <v>21</v>
      </c>
      <c r="AA9" s="6" t="s">
        <v>21</v>
      </c>
      <c r="AB9" s="6" t="s">
        <v>21</v>
      </c>
      <c r="AC9" s="8" t="s">
        <v>21</v>
      </c>
      <c r="AD9" s="6" t="s">
        <v>21</v>
      </c>
      <c r="AE9" s="6" t="s">
        <v>21</v>
      </c>
      <c r="AF9" s="6">
        <v>30</v>
      </c>
      <c r="AG9" s="6">
        <f t="shared" si="0"/>
        <v>4</v>
      </c>
      <c r="AH9" s="6">
        <f t="shared" si="1"/>
        <v>25</v>
      </c>
      <c r="AI9" s="6">
        <v>35000</v>
      </c>
      <c r="AJ9" s="6">
        <f t="shared" si="2"/>
        <v>1166.6666666666667</v>
      </c>
      <c r="AK9" s="6">
        <f t="shared" si="3"/>
        <v>29166.666666666668</v>
      </c>
      <c r="AL9" s="6"/>
    </row>
    <row r="10" spans="1:38">
      <c r="A10" s="6" t="s">
        <v>19</v>
      </c>
      <c r="B10" s="6" t="s">
        <v>21</v>
      </c>
      <c r="C10" s="6" t="s">
        <v>21</v>
      </c>
      <c r="D10" s="6" t="s">
        <v>21</v>
      </c>
      <c r="E10" s="6" t="s">
        <v>21</v>
      </c>
      <c r="F10" s="6" t="s">
        <v>21</v>
      </c>
      <c r="G10" s="6" t="s">
        <v>21</v>
      </c>
      <c r="H10" s="8" t="s">
        <v>21</v>
      </c>
      <c r="I10" s="6" t="s">
        <v>21</v>
      </c>
      <c r="J10" s="6" t="s">
        <v>21</v>
      </c>
      <c r="K10" s="6" t="s">
        <v>21</v>
      </c>
      <c r="L10" s="6" t="s">
        <v>21</v>
      </c>
      <c r="M10" s="6" t="s">
        <v>21</v>
      </c>
      <c r="N10" s="6" t="s">
        <v>14</v>
      </c>
      <c r="O10" s="8">
        <v>14</v>
      </c>
      <c r="P10" s="6" t="s">
        <v>21</v>
      </c>
      <c r="Q10" s="6" t="s">
        <v>14</v>
      </c>
      <c r="R10" s="6" t="s">
        <v>21</v>
      </c>
      <c r="S10" s="6" t="s">
        <v>21</v>
      </c>
      <c r="T10" s="6" t="s">
        <v>21</v>
      </c>
      <c r="U10" s="6" t="s">
        <v>14</v>
      </c>
      <c r="V10" s="8" t="s">
        <v>21</v>
      </c>
      <c r="W10" s="6" t="s">
        <v>21</v>
      </c>
      <c r="X10" s="6" t="s">
        <v>14</v>
      </c>
      <c r="Y10" s="6" t="s">
        <v>21</v>
      </c>
      <c r="Z10" s="6" t="s">
        <v>21</v>
      </c>
      <c r="AA10" s="6" t="s">
        <v>14</v>
      </c>
      <c r="AB10" s="6" t="s">
        <v>21</v>
      </c>
      <c r="AC10" s="8" t="s">
        <v>21</v>
      </c>
      <c r="AD10" s="6" t="s">
        <v>21</v>
      </c>
      <c r="AE10" s="6" t="s">
        <v>21</v>
      </c>
      <c r="AF10" s="6">
        <v>30</v>
      </c>
      <c r="AG10" s="6">
        <f t="shared" si="0"/>
        <v>5</v>
      </c>
      <c r="AH10" s="6">
        <f t="shared" si="1"/>
        <v>24</v>
      </c>
      <c r="AI10" s="6">
        <v>40000</v>
      </c>
      <c r="AJ10" s="6">
        <f t="shared" si="2"/>
        <v>1333.3333333333333</v>
      </c>
      <c r="AK10" s="6">
        <f t="shared" si="3"/>
        <v>32000</v>
      </c>
      <c r="AL10" s="6"/>
    </row>
    <row r="11" spans="1:38">
      <c r="A11" s="7"/>
      <c r="AF11" s="6"/>
      <c r="AG11" s="6"/>
      <c r="AH11" s="6"/>
      <c r="AI11" s="6"/>
      <c r="AJ11" s="6"/>
      <c r="AK11" s="6"/>
      <c r="AL11" s="6"/>
    </row>
    <row r="12" spans="1:38">
      <c r="A12" s="7"/>
    </row>
    <row r="13" spans="1:38">
      <c r="A13" s="7"/>
    </row>
  </sheetData>
  <mergeCells count="1">
    <mergeCell ref="A1:AD5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</cp:lastModifiedBy>
  <dcterms:created xsi:type="dcterms:W3CDTF">2026-02-06T13:00:06Z</dcterms:created>
  <dcterms:modified xsi:type="dcterms:W3CDTF">2026-02-06T13:34:44Z</dcterms:modified>
</cp:coreProperties>
</file>